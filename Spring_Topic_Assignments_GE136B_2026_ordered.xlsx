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nicolasanderson/Downloads/"/>
    </mc:Choice>
  </mc:AlternateContent>
  <xr:revisionPtr revIDLastSave="0" documentId="13_ncr:1_{6764795B-74BA-8A4F-BF2A-D8BBF1ED8028}" xr6:coauthVersionLast="47" xr6:coauthVersionMax="47" xr10:uidLastSave="{00000000-0000-0000-0000-000000000000}"/>
  <bookViews>
    <workbookView xWindow="0" yWindow="760" windowWidth="29840" windowHeight="16780" tabRatio="500" xr2:uid="{00000000-000D-0000-FFFF-FFFF00000000}"/>
  </bookViews>
  <sheets>
    <sheet name="Spring Trip Assignments" sheetId="1" r:id="rId1"/>
    <sheet name="Summar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2" l="1"/>
</calcChain>
</file>

<file path=xl/sharedStrings.xml><?xml version="1.0" encoding="utf-8"?>
<sst xmlns="http://schemas.openxmlformats.org/spreadsheetml/2006/main" count="237" uniqueCount="155">
  <si>
    <t>Student Name</t>
  </si>
  <si>
    <t>Email</t>
  </si>
  <si>
    <t>Assigned Topic</t>
  </si>
  <si>
    <t>Assignment Type</t>
  </si>
  <si>
    <t>Reasoning / Why</t>
  </si>
  <si>
    <t>Their 1st Choice</t>
  </si>
  <si>
    <t>Talk Day</t>
  </si>
  <si>
    <t>Talk Order (within day)</t>
  </si>
  <si>
    <t>Abby Keebler</t>
  </si>
  <si>
    <t>akeebler@caltech.edu</t>
  </si>
  <si>
    <t>Tejon Oil Country - geologic and human history</t>
  </si>
  <si>
    <t>Random</t>
  </si>
  <si>
    <t>Honestly just put me on whatever! But I study evaporite lakes.</t>
  </si>
  <si>
    <t xml:space="preserve">Thenardite mineralology and soda lake </t>
  </si>
  <si>
    <t>Day 1</t>
  </si>
  <si>
    <t>amanda bednarick</t>
  </si>
  <si>
    <t>abednari@caltech.edu</t>
  </si>
  <si>
    <t>Granite Crystallization, Types (S, I, A etc) and Protoliths</t>
  </si>
  <si>
    <t>1st choice</t>
  </si>
  <si>
    <t xml:space="preserve">california has a lot of granite and not all granite is the same </t>
  </si>
  <si>
    <t>Amelie Sharples</t>
  </si>
  <si>
    <t>asharple@caltech.edu</t>
  </si>
  <si>
    <t>What happens at a fish hatchery? San Joaquin Fish Hatchery</t>
  </si>
  <si>
    <t>I'm from seattle and spent a while interning for a nonprofit working to help the endangered southern resident orcas - and it turns out a major part of this involved learning about the fishing industry since these orcas depend on the fish. I would love to learn more about the fish hatcheries in california and see how ethical it is (i see they are interested in conservation? especially for the chinook salmon that both humans and orcas love, could be exciting!)</t>
  </si>
  <si>
    <t>Annie Edwards</t>
  </si>
  <si>
    <t>acedward@caltech.edu</t>
  </si>
  <si>
    <t>Evaporites are cool! I took estate last quarter and would like to recall some of it before I forget!</t>
  </si>
  <si>
    <t>Day 4</t>
  </si>
  <si>
    <t>Ava Barbano</t>
  </si>
  <si>
    <t>abarbano@caltech.edu</t>
  </si>
  <si>
    <t>Impact of dams on pre contact california natives and fauna - Friant Dam (someone else will cover lake tulare)</t>
  </si>
  <si>
    <t>I am also in a VC class this term on the groundwater crisis in the Central Valley and Friant dam is one of the focuses. For my other choices, the billionaire farmers pertain to that same topic and I am in BBE (CNS) so I can cover antibiotic resistance as well</t>
  </si>
  <si>
    <t>Ben Thyer</t>
  </si>
  <si>
    <t>bthyer@caltech.edu</t>
  </si>
  <si>
    <t>The War Against Fossil Magma Chambers: Geochronology and Incremental Assembly of Plutons</t>
  </si>
  <si>
    <t>Self-suggested</t>
  </si>
  <si>
    <t xml:space="preserve">As an undergraduate I did zircon U/Pb ID-TIMS with Drew Coleman at Chapel Hill and learned petrology from Allen Glazner. They had very strong and provocative opinions about the timescales and mechanisms of pluton construction. They essentially believe that large, high melt-fraction magma chambers only exist in the upper crust immediately before eruption. They fight the idea that granodiorite plutons are fossil magma chambers using geochronology of Sierran granitoids. </t>
  </si>
  <si>
    <t>I AM STUGGLING TO COME UP WITH MORE TOPICS SO HELP ME BY SUGGESTING YOUR OWN</t>
  </si>
  <si>
    <t>Day 2</t>
  </si>
  <si>
    <t>Debarun Mukherjee</t>
  </si>
  <si>
    <t>debarun@caltech.edu</t>
  </si>
  <si>
    <t>John Muir and preservation of the Sierra Nevadas</t>
  </si>
  <si>
    <t xml:space="preserve">I love history and narration of science through a historical perspective </t>
  </si>
  <si>
    <t>Elin Stenmark</t>
  </si>
  <si>
    <t>stenmark@caltech.edu</t>
  </si>
  <si>
    <t>glacial geomorphology features aretes, circs, glacial lakes, morraines etc</t>
  </si>
  <si>
    <t>2nd choice</t>
  </si>
  <si>
    <t>I have wanted to go to Sequoia for the past 4 years so it'd be cool to prepare a presentation on it! Also happy w the other 2 topics or anything planetary science-adjacent / planetary analog stuff you think would be relevant to this area!</t>
  </si>
  <si>
    <t>Giant Sequoia Forest - Tree Biology</t>
  </si>
  <si>
    <t>Jarek Kwiecinski</t>
  </si>
  <si>
    <t>jkwiecin@caltech.edu</t>
  </si>
  <si>
    <t>Since Mono Hot Springs is in a burn scar, I would like to discuss the fire ecology of the western sierra and the impacts of fire suppression and climate change on this ecosystem.</t>
  </si>
  <si>
    <t>California has some of the most exceptional tree species in the world, and I enjoy exploring and learning about its forests. I have also worked with a forest ecologist who did his PhD in the Teakettle Experimental Forest, a site near Mono Hot Springs which burned down in the Garnet Fire last year.</t>
  </si>
  <si>
    <t>Koki Yoshioka</t>
  </si>
  <si>
    <t>kyoshiok@caltech.edu</t>
  </si>
  <si>
    <t>Boyden Cave and Roof Pendant</t>
  </si>
  <si>
    <t>I thought the cave is cool and wanted to learn more about its formation. I also like eating salmons.</t>
  </si>
  <si>
    <t>Konnor von Emster</t>
  </si>
  <si>
    <t>kve@caltech.edu</t>
  </si>
  <si>
    <t>History of snow surveys in the Sierra Nevada to accurately predict water availability. Based on the book "The Log of a Snow Survey" by Patrick Armstrong. Small teams go into prestocked cabins along Kern Canyon to measure snow pack on fields/lakes with augers so that cities/counties can accurately predict water availability for the coming year. The small teams must trek over all of the famous passes in the sierras and enter areas that are void of humans for half the year. I would probably go into the science of their measurements and how they are practically used (and modern alternatives, if any).</t>
  </si>
  <si>
    <t xml:space="preserve">I read this book and the stories of wildlife and backcountry skiing in one of the most remote places in California (for half the year) is amazing. Survivalship, science, good decision making, and an attention to the natural world was very interesting. </t>
  </si>
  <si>
    <t>Korbi Thalhammer</t>
  </si>
  <si>
    <t>kthalham@caltech.edu</t>
  </si>
  <si>
    <t>Carrizo Plain, global desertification and the rise of Soil Fungus particularly Valley Fever</t>
  </si>
  <si>
    <t>I'm intimately familiar with the progression of a valley fever infection</t>
  </si>
  <si>
    <t>Madi Tongco</t>
  </si>
  <si>
    <t>mtongco@caltech.edu</t>
  </si>
  <si>
    <t>I'll be researching with a fish geneticist in Iceland this summer! So I'd like to write my report on something fish-related.</t>
  </si>
  <si>
    <t>Maia Hannahs</t>
  </si>
  <si>
    <t>mhannahs@caltech.edu</t>
  </si>
  <si>
    <t>Field guide to plants, I'll look up where we're going and see if there's anything cool with a little field guide and drawings.  Also a easy "what am I looking at" guid to rocks could be a nice extra topic for someone</t>
  </si>
  <si>
    <t>I like caves, I was in a cave yesterday, when youre in caves people talk about how caves are made, but I don't know much about that yet</t>
  </si>
  <si>
    <t>Day 3</t>
  </si>
  <si>
    <t>Marisa Langley</t>
  </si>
  <si>
    <t>mlangle2@caltech.edu</t>
  </si>
  <si>
    <t>Big Creek hydroelectric project</t>
  </si>
  <si>
    <t>3rd choice</t>
  </si>
  <si>
    <t>I think it would be fun to talk about the wildlife present, as well as the conservation/restoration efforts for the vernal pool ecosystem in recent years.</t>
  </si>
  <si>
    <t>Vernal Pools a disappearing ecosystem</t>
  </si>
  <si>
    <t>Nathan Lim</t>
  </si>
  <si>
    <t>yxlim@caltech.edu</t>
  </si>
  <si>
    <t>San Joaquin Fish Hatchery sits at the precise tectonic boundary where Sierra Nevada granite meets Central Valley sediment, so it is the perfect case study of how fluvial geomorphology and human engineering intersect to sustain an entire ecosystem. Also I want to study more about one of California’s most critical restoration project and I love fishes :)</t>
  </si>
  <si>
    <t>Olivia Alcabes</t>
  </si>
  <si>
    <t>oalcabes@caltech.edu</t>
  </si>
  <si>
    <t>Boswells, Resnicks and Singletons - California and billionaire farmers</t>
  </si>
  <si>
    <t>interested in biology to learn about carbon drawdown of sequoias</t>
  </si>
  <si>
    <t>Pablo Drake Hernandez</t>
  </si>
  <si>
    <t>pdrake@caltech.edu</t>
  </si>
  <si>
    <t>Creation Stories in Yokut &amp; Tübatulabal Cultures [title in progress]</t>
  </si>
  <si>
    <t>Want to learn more about indigenous culture in California (of which I know very little) + creation stories usually tied to astro (fun!)</t>
  </si>
  <si>
    <t>Hospital Rock - Tubatulabal, Yokuts, and Potwisha Native Americans</t>
  </si>
  <si>
    <t>Rachel Nazareth</t>
  </si>
  <si>
    <t>rnazaret@caltech.edu</t>
  </si>
  <si>
    <t>Milankovitch cycles and glaciation in the sierras</t>
  </si>
  <si>
    <t>I am an astrophysics major and I also really like planetary science. I am interested in how astrophysical concepts (changing eccentricity and obliquity) can affect climate.</t>
  </si>
  <si>
    <t>Richard Horak</t>
  </si>
  <si>
    <t>rhorak@caltech.edu</t>
  </si>
  <si>
    <t>Role of skin bacteria in promoting survival of the Yosemite toad to fungus. OR metabolic survival strategies of pink snow algae</t>
  </si>
  <si>
    <t>Super cool microbiology in the high sierra!</t>
  </si>
  <si>
    <t>Sarah Davis</t>
  </si>
  <si>
    <t>sdavis2@caltech.edu</t>
  </si>
  <si>
    <t xml:space="preserve">I think "temporary wetlands" like vernal pools are crucial to fauna and flora - both locally and for migratory species. I would like to talk about how industrialization and farming expansion in CA has contributed to the destruction of this habitat. </t>
  </si>
  <si>
    <t>Simon Andren</t>
  </si>
  <si>
    <t>sandren@caltech.edu</t>
  </si>
  <si>
    <t>Geothermal Energy in California - Casa Diablo IV</t>
  </si>
  <si>
    <t>Will do a great job on this one I promise</t>
  </si>
  <si>
    <t>Sophia Ree</t>
  </si>
  <si>
    <t>jiinree@caltech.edu</t>
  </si>
  <si>
    <t>magmatic history of the sierra nevada batholith. wtf is a batholith?</t>
  </si>
  <si>
    <t>I LOVE granites. The Sierra Nevada Batholith is my granite first love and the reason I decided to become a granite petrologist. I love this topic more than any other person in this whole world!</t>
  </si>
  <si>
    <t>Sophia Westerkamp</t>
  </si>
  <si>
    <t>swesterk@caltech.edu</t>
  </si>
  <si>
    <t>Word search / crossword / etc.... plus making lots of dinner :)</t>
  </si>
  <si>
    <t>I can put together a great word search!</t>
  </si>
  <si>
    <t>Tuyako Khristoforova</t>
  </si>
  <si>
    <t>tkhristo@caltech.edu</t>
  </si>
  <si>
    <t>I'm interested in energy storage and sustainability! I'm curious how the Big Creek Hydroelectric Project impacts the environment.</t>
  </si>
  <si>
    <t>Virginia (Gigi) Pistilli</t>
  </si>
  <si>
    <t>vpistill@caltech.edu</t>
  </si>
  <si>
    <t>Unranked (leftover)</t>
  </si>
  <si>
    <t>I'm very interested in sustainable agriculture and how current practices impact biodiversity and carbon cycling! Also I've heard of Valley Fever as being a risk in some of our field trips so would love to learn more.</t>
  </si>
  <si>
    <t>Waqar Mirza</t>
  </si>
  <si>
    <t>wmirza@caltech.edu</t>
  </si>
  <si>
    <t>how do granites exhume and Weathering Styles - Exfolation, Sand, Freeze/Thaw jointing,  Spheroidal etc</t>
  </si>
  <si>
    <t>I really like rock climbing and granite is a really cool rock to climb. Learning the physical processes involved in the formation of observed granite features sounds like fun.</t>
  </si>
  <si>
    <t>Zachary Glaser</t>
  </si>
  <si>
    <t>zglaser@caltech.edu</t>
  </si>
  <si>
    <t>Diminishing snowpack in the Sierras</t>
  </si>
  <si>
    <t>I care so much about climate change, I just want to leave a better world for my children 🥲</t>
  </si>
  <si>
    <t>Zhehao (Garry) Zhang</t>
  </si>
  <si>
    <t>zzhang6@caltech.edu</t>
  </si>
  <si>
    <t>It'd be amazing if I can present on the geochemistry of the different springs we encounter, e.g. learning where they come from underground from their chemistry, and also learn what we can learn of the local geology by analyzing their compositions and temperature and etc.</t>
  </si>
  <si>
    <t>Organic chemist here but have done a decent amount of inorganic chem, curious about how this applies towards geological systems</t>
  </si>
  <si>
    <t>Spring Topic Assignment Summary</t>
  </si>
  <si>
    <t>Legend</t>
  </si>
  <si>
    <t>Category</t>
  </si>
  <si>
    <t>Count</t>
  </si>
  <si>
    <t>TOTAL</t>
  </si>
  <si>
    <t>Notes from Nick</t>
  </si>
  <si>
    <t>Good luck hot spring data can be hard to find. Research remington hot springs, miracle/hobo hot springs both in kern county and mono hot springs in the sierras https://www.sciencebase.gov/catalog/item/64cc2213d34e2d58db2fa9a6</t>
  </si>
  <si>
    <t xml:space="preserve">central valley watersheds </t>
  </si>
  <si>
    <t>(im sure you can combine this topic with sustainable agriculture and biodiversity.) https%3A%2F%2Fca.water.usgs.gov%2Fprojects%2Fcentral-valley%2Fimages%2FmapVlyQuadCity.png&amp;f=1&amp;nofb=1&amp;ipt=a23395c43b95dd42eb2e8a987e52193e6a64b415dacfbe815327db26cf5916e7</t>
  </si>
  <si>
    <t>u know what I want</t>
  </si>
  <si>
    <t>Impact of dams on pre contact california natives and fauna - Friant Dam and Ancient lake tulare</t>
  </si>
  <si>
    <t>yes I like this fire topic</t>
  </si>
  <si>
    <t>this topic is fine but please make it scientific</t>
  </si>
  <si>
    <t>antibiotic resistance in cattle, salmon and california food supply?</t>
  </si>
  <si>
    <t xml:space="preserve"> https://pmc.ncbi.nlm.nih.gov/articles/PMC12029767/ (changed topic to align bettter with your interests)</t>
  </si>
  <si>
    <t>I rtoo did ca id tims in my undergrad. Great topics</t>
  </si>
  <si>
    <t>yosemite toad please</t>
  </si>
  <si>
    <t>talk about downstream effects of reservoirs and drinking water</t>
  </si>
  <si>
    <t>I like creation stories. I have lots of indigeous books if u wanna see them</t>
  </si>
  <si>
    <t>yes but make it damn good. I have an example guide. If u go this I need min 20 plants - 10 high sierras 10 low. Talk to me and we can figure it out.</t>
  </si>
  <si>
    <t>u go girl</t>
  </si>
  <si>
    <t>make sure to go thru the life cyce of a fish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</si>
</sst>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10"/>
      <name val="Arial"/>
      <family val="2"/>
    </font>
    <font>
      <b/>
      <sz val="11"/>
      <color rgb="FFFFFFFF"/>
      <name val="Arial"/>
      <family val="2"/>
    </font>
    <font>
      <sz val="10"/>
      <name val="Arial"/>
      <family val="2"/>
    </font>
    <font>
      <b/>
      <sz val="14"/>
      <name val="Arial"/>
      <family val="2"/>
    </font>
    <font>
      <b/>
      <sz val="12"/>
      <name val="Arial"/>
      <family val="2"/>
    </font>
    <font>
      <b/>
      <sz val="11"/>
      <name val="Arial"/>
      <family val="2"/>
    </font>
    <font>
      <b/>
      <sz val="10"/>
      <color rgb="FFFFFFFF"/>
      <name val="Arial"/>
      <family val="2"/>
    </font>
    <font>
      <sz val="10"/>
      <name val="Arial"/>
      <family val="2"/>
    </font>
  </fonts>
  <fills count="15">
    <fill>
      <patternFill patternType="none"/>
    </fill>
    <fill>
      <patternFill patternType="gray125"/>
    </fill>
    <fill>
      <patternFill patternType="solid">
        <fgColor rgb="FF305496"/>
        <bgColor rgb="FF666699"/>
      </patternFill>
    </fill>
    <fill>
      <patternFill patternType="solid">
        <fgColor rgb="FFE2EFDA"/>
        <bgColor rgb="FFFCE4D6"/>
      </patternFill>
    </fill>
    <fill>
      <patternFill patternType="solid">
        <fgColor rgb="FFFFF2CC"/>
        <bgColor rgb="FFFCE4D6"/>
      </patternFill>
    </fill>
    <fill>
      <patternFill patternType="solid">
        <fgColor rgb="FFFCE4D6"/>
        <bgColor rgb="FFFFF2CC"/>
      </patternFill>
    </fill>
    <fill>
      <patternFill patternType="solid">
        <fgColor rgb="FFF8CBAD"/>
        <bgColor rgb="FFFFC7CE"/>
      </patternFill>
    </fill>
    <fill>
      <patternFill patternType="solid">
        <fgColor rgb="FFFFC7CE"/>
        <bgColor rgb="FFF8CBAD"/>
      </patternFill>
    </fill>
    <fill>
      <patternFill patternType="solid">
        <fgColor theme="2" tint="-9.9978637043366805E-2"/>
        <bgColor rgb="FFFCE4D6"/>
      </patternFill>
    </fill>
    <fill>
      <patternFill patternType="solid">
        <fgColor theme="2" tint="-9.9978637043366805E-2"/>
        <bgColor rgb="FFFFC7CE"/>
      </patternFill>
    </fill>
    <fill>
      <patternFill patternType="solid">
        <fgColor rgb="FF1F4E79"/>
      </patternFill>
    </fill>
    <fill>
      <patternFill patternType="solid">
        <fgColor rgb="FFEBF4FB"/>
      </patternFill>
    </fill>
    <fill>
      <patternFill patternType="solid">
        <fgColor rgb="FFFDF3F4"/>
      </patternFill>
    </fill>
    <fill>
      <patternFill patternType="solid">
        <fgColor rgb="FFEAFAEB"/>
      </patternFill>
    </fill>
    <fill>
      <patternFill patternType="solid">
        <fgColor rgb="FFFFFB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8">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5"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3" fillId="7" borderId="1" xfId="0" applyFont="1" applyFill="1" applyBorder="1"/>
    <xf numFmtId="0" fontId="2" fillId="2" borderId="1" xfId="0" applyFont="1" applyFill="1" applyBorder="1"/>
    <xf numFmtId="0" fontId="0" fillId="3" borderId="1" xfId="0" applyFill="1" applyBorder="1"/>
    <xf numFmtId="0" fontId="0" fillId="0" borderId="1" xfId="0"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6" fillId="0" borderId="1" xfId="0" applyFont="1" applyBorder="1"/>
    <xf numFmtId="0" fontId="1" fillId="5" borderId="1" xfId="0" applyFont="1" applyFill="1" applyBorder="1" applyAlignment="1">
      <alignment vertical="top" wrapText="1"/>
    </xf>
    <xf numFmtId="0" fontId="1" fillId="7" borderId="1" xfId="0" applyFont="1" applyFill="1" applyBorder="1" applyAlignment="1">
      <alignment vertical="top" wrapText="1"/>
    </xf>
    <xf numFmtId="0" fontId="1" fillId="4" borderId="1" xfId="0" applyFont="1" applyFill="1" applyBorder="1" applyAlignment="1">
      <alignment vertical="top" wrapText="1"/>
    </xf>
    <xf numFmtId="0" fontId="1" fillId="0" borderId="1" xfId="0" applyFont="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1" fillId="9" borderId="1" xfId="0" applyFont="1" applyFill="1" applyBorder="1" applyAlignment="1">
      <alignment vertical="top" wrapText="1"/>
    </xf>
    <xf numFmtId="0" fontId="7" fillId="10" borderId="0" xfId="0" applyFont="1" applyFill="1" applyAlignment="1">
      <alignment horizontal="center" vertical="center"/>
    </xf>
    <xf numFmtId="0" fontId="8" fillId="11" borderId="0" xfId="0" applyFont="1" applyFill="1" applyAlignment="1">
      <alignment horizontal="center" vertical="center"/>
    </xf>
    <xf numFmtId="0" fontId="8" fillId="12" borderId="0" xfId="0" applyFont="1" applyFill="1" applyAlignment="1">
      <alignment horizontal="center" vertical="center"/>
    </xf>
    <xf numFmtId="0" fontId="8" fillId="13" borderId="0" xfId="0" applyFont="1" applyFill="1" applyAlignment="1">
      <alignment horizontal="center" vertical="center"/>
    </xf>
    <xf numFmtId="0" fontId="8" fillId="14" borderId="0" xfId="0" applyFont="1" applyFill="1" applyAlignment="1">
      <alignment horizontal="center" vertical="center"/>
    </xf>
    <xf numFmtId="0" fontId="4" fillId="0" borderId="0" xfId="0" applyFont="1"/>
    <xf numFmtId="0" fontId="0" fillId="0" borderId="0" xfId="0"/>
    <xf numFmtId="0" fontId="1" fillId="0" borderId="0" xfId="0" applyFont="1" applyBorder="1" applyAlignment="1">
      <alignment vertical="top" wrapText="1"/>
    </xf>
    <xf numFmtId="0" fontId="1" fillId="3" borderId="1" xfId="0" applyFont="1" applyFill="1" applyBorder="1" applyAlignment="1">
      <alignment vertical="top" wrapText="1"/>
    </xf>
    <xf numFmtId="0" fontId="1"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zoomScaleNormal="100" workbookViewId="0">
      <pane ySplit="1" topLeftCell="A2" activePane="bottomLeft" state="frozen"/>
      <selection pane="bottomLeft" activeCell="D37" sqref="D37"/>
    </sheetView>
  </sheetViews>
  <sheetFormatPr baseColWidth="10" defaultColWidth="8.6640625" defaultRowHeight="15" x14ac:dyDescent="0.2"/>
  <cols>
    <col min="1" max="1" width="24" customWidth="1"/>
    <col min="2" max="2" width="26" hidden="1" customWidth="1"/>
    <col min="3" max="4" width="55" customWidth="1"/>
    <col min="5" max="5" width="18" customWidth="1"/>
    <col min="6" max="6" width="55" hidden="1" customWidth="1"/>
    <col min="7" max="7" width="40" hidden="1" customWidth="1"/>
    <col min="8" max="8" width="10" customWidth="1"/>
    <col min="9" max="9" width="26" customWidth="1"/>
  </cols>
  <sheetData>
    <row r="1" spans="1:9" ht="27.75" customHeight="1" x14ac:dyDescent="0.2">
      <c r="A1" s="1" t="s">
        <v>0</v>
      </c>
      <c r="B1" s="1" t="s">
        <v>1</v>
      </c>
      <c r="C1" s="1" t="s">
        <v>2</v>
      </c>
      <c r="D1" s="1" t="s">
        <v>138</v>
      </c>
      <c r="E1" s="1" t="s">
        <v>3</v>
      </c>
      <c r="F1" s="1" t="s">
        <v>4</v>
      </c>
      <c r="G1" s="1" t="s">
        <v>5</v>
      </c>
      <c r="H1" s="28" t="s">
        <v>6</v>
      </c>
      <c r="I1" s="28" t="s">
        <v>7</v>
      </c>
    </row>
    <row r="2" spans="1:9" x14ac:dyDescent="0.2">
      <c r="A2" s="3" t="s">
        <v>8</v>
      </c>
      <c r="B2" s="3" t="s">
        <v>9</v>
      </c>
      <c r="C2" s="3" t="s">
        <v>10</v>
      </c>
      <c r="D2" s="3"/>
      <c r="E2" s="23" t="s">
        <v>11</v>
      </c>
      <c r="F2" s="3" t="s">
        <v>12</v>
      </c>
      <c r="G2" s="3" t="s">
        <v>13</v>
      </c>
      <c r="H2" s="29" t="s">
        <v>14</v>
      </c>
      <c r="I2" s="29">
        <v>1</v>
      </c>
    </row>
    <row r="3" spans="1:9" ht="70" x14ac:dyDescent="0.2">
      <c r="A3" s="2" t="s">
        <v>129</v>
      </c>
      <c r="B3" s="2" t="s">
        <v>130</v>
      </c>
      <c r="C3" s="2" t="s">
        <v>131</v>
      </c>
      <c r="D3" s="36" t="s">
        <v>139</v>
      </c>
      <c r="E3" s="2" t="s">
        <v>35</v>
      </c>
      <c r="F3" s="2" t="s">
        <v>132</v>
      </c>
      <c r="G3" s="2" t="s">
        <v>37</v>
      </c>
      <c r="H3" s="29" t="s">
        <v>14</v>
      </c>
      <c r="I3" s="29">
        <v>2</v>
      </c>
    </row>
    <row r="4" spans="1:9" ht="112" customHeight="1" x14ac:dyDescent="0.2">
      <c r="A4" s="6" t="s">
        <v>117</v>
      </c>
      <c r="B4" s="6" t="s">
        <v>118</v>
      </c>
      <c r="C4" s="22" t="s">
        <v>140</v>
      </c>
      <c r="D4" s="22" t="s">
        <v>141</v>
      </c>
      <c r="E4" s="6" t="s">
        <v>119</v>
      </c>
      <c r="F4" s="6" t="s">
        <v>120</v>
      </c>
      <c r="G4" s="6" t="s">
        <v>63</v>
      </c>
      <c r="H4" s="29" t="s">
        <v>14</v>
      </c>
      <c r="I4" s="29">
        <v>3</v>
      </c>
    </row>
    <row r="5" spans="1:9" ht="28" customHeight="1" x14ac:dyDescent="0.2">
      <c r="A5" s="4" t="s">
        <v>82</v>
      </c>
      <c r="B5" s="4" t="s">
        <v>83</v>
      </c>
      <c r="C5" s="4" t="s">
        <v>84</v>
      </c>
      <c r="D5" s="21" t="s">
        <v>142</v>
      </c>
      <c r="E5" s="4" t="s">
        <v>46</v>
      </c>
      <c r="F5" s="4" t="s">
        <v>85</v>
      </c>
      <c r="G5" s="4" t="s">
        <v>48</v>
      </c>
      <c r="H5" s="29" t="s">
        <v>14</v>
      </c>
      <c r="I5" s="29">
        <v>4</v>
      </c>
    </row>
    <row r="6" spans="1:9" ht="70" customHeight="1" x14ac:dyDescent="0.2">
      <c r="A6" s="25" t="s">
        <v>99</v>
      </c>
      <c r="B6" s="25" t="s">
        <v>100</v>
      </c>
      <c r="C6" s="25" t="s">
        <v>78</v>
      </c>
      <c r="D6" s="25"/>
      <c r="E6" s="25" t="s">
        <v>18</v>
      </c>
      <c r="F6" s="25" t="s">
        <v>101</v>
      </c>
      <c r="G6" s="25" t="s">
        <v>78</v>
      </c>
      <c r="H6" s="29" t="s">
        <v>14</v>
      </c>
      <c r="I6" s="29">
        <v>5</v>
      </c>
    </row>
    <row r="7" spans="1:9" ht="126" customHeight="1" x14ac:dyDescent="0.2">
      <c r="A7" s="25" t="s">
        <v>20</v>
      </c>
      <c r="B7" s="25" t="s">
        <v>21</v>
      </c>
      <c r="C7" s="37" t="s">
        <v>22</v>
      </c>
      <c r="D7" s="37" t="s">
        <v>154</v>
      </c>
      <c r="E7" s="25" t="s">
        <v>18</v>
      </c>
      <c r="F7" s="25" t="s">
        <v>23</v>
      </c>
      <c r="G7" s="25" t="s">
        <v>22</v>
      </c>
      <c r="H7" s="29" t="s">
        <v>14</v>
      </c>
      <c r="I7" s="29">
        <v>6</v>
      </c>
    </row>
    <row r="8" spans="1:9" ht="28" customHeight="1" x14ac:dyDescent="0.2">
      <c r="A8" s="25" t="s">
        <v>28</v>
      </c>
      <c r="B8" s="25" t="s">
        <v>29</v>
      </c>
      <c r="C8" s="37" t="s">
        <v>143</v>
      </c>
      <c r="D8" s="25"/>
      <c r="E8" s="25" t="s">
        <v>18</v>
      </c>
      <c r="F8" s="25" t="s">
        <v>31</v>
      </c>
      <c r="G8" s="25" t="s">
        <v>30</v>
      </c>
      <c r="H8" s="29" t="s">
        <v>14</v>
      </c>
      <c r="I8" s="29">
        <v>7</v>
      </c>
    </row>
    <row r="9" spans="1:9" ht="70" customHeight="1" x14ac:dyDescent="0.2">
      <c r="A9" s="25" t="s">
        <v>15</v>
      </c>
      <c r="B9" s="25" t="s">
        <v>16</v>
      </c>
      <c r="C9" s="25" t="s">
        <v>17</v>
      </c>
      <c r="D9" s="25"/>
      <c r="E9" s="25" t="s">
        <v>18</v>
      </c>
      <c r="F9" s="25" t="s">
        <v>19</v>
      </c>
      <c r="G9" s="25" t="s">
        <v>17</v>
      </c>
      <c r="H9" s="29" t="s">
        <v>14</v>
      </c>
      <c r="I9" s="29">
        <v>8</v>
      </c>
    </row>
    <row r="10" spans="1:9" ht="70" customHeight="1" x14ac:dyDescent="0.2">
      <c r="A10" s="5" t="s">
        <v>73</v>
      </c>
      <c r="B10" s="5" t="s">
        <v>74</v>
      </c>
      <c r="C10" s="5" t="s">
        <v>75</v>
      </c>
      <c r="D10" s="5"/>
      <c r="E10" s="5" t="s">
        <v>76</v>
      </c>
      <c r="F10" s="5" t="s">
        <v>77</v>
      </c>
      <c r="G10" s="5" t="s">
        <v>78</v>
      </c>
      <c r="H10" s="29" t="s">
        <v>14</v>
      </c>
      <c r="I10" s="29">
        <v>9</v>
      </c>
    </row>
    <row r="11" spans="1:9" ht="28" customHeight="1" x14ac:dyDescent="0.2">
      <c r="A11" s="25" t="s">
        <v>106</v>
      </c>
      <c r="B11" s="25" t="s">
        <v>107</v>
      </c>
      <c r="C11" s="25" t="s">
        <v>108</v>
      </c>
      <c r="D11" s="25"/>
      <c r="E11" s="25" t="s">
        <v>18</v>
      </c>
      <c r="F11" s="25" t="s">
        <v>109</v>
      </c>
      <c r="G11" s="25" t="s">
        <v>108</v>
      </c>
      <c r="H11" s="29" t="s">
        <v>14</v>
      </c>
      <c r="I11" s="29">
        <v>10</v>
      </c>
    </row>
    <row r="12" spans="1:9" ht="140" customHeight="1" x14ac:dyDescent="0.2">
      <c r="A12" s="2" t="s">
        <v>49</v>
      </c>
      <c r="B12" s="2" t="s">
        <v>50</v>
      </c>
      <c r="C12" s="2" t="s">
        <v>51</v>
      </c>
      <c r="D12" s="36" t="s">
        <v>144</v>
      </c>
      <c r="E12" s="2" t="s">
        <v>35</v>
      </c>
      <c r="F12" s="2" t="s">
        <v>52</v>
      </c>
      <c r="G12" s="2" t="s">
        <v>48</v>
      </c>
      <c r="H12" s="31" t="s">
        <v>38</v>
      </c>
      <c r="I12" s="31">
        <v>1</v>
      </c>
    </row>
    <row r="13" spans="1:9" ht="136" customHeight="1" x14ac:dyDescent="0.2">
      <c r="A13" s="2" t="s">
        <v>57</v>
      </c>
      <c r="B13" s="2" t="s">
        <v>58</v>
      </c>
      <c r="C13" s="2" t="s">
        <v>59</v>
      </c>
      <c r="D13" s="36" t="s">
        <v>145</v>
      </c>
      <c r="E13" s="2" t="s">
        <v>35</v>
      </c>
      <c r="F13" s="2" t="s">
        <v>60</v>
      </c>
      <c r="G13" s="2"/>
      <c r="H13" s="31" t="s">
        <v>38</v>
      </c>
      <c r="I13" s="31">
        <v>2</v>
      </c>
    </row>
    <row r="14" spans="1:9" ht="42" customHeight="1" x14ac:dyDescent="0.2">
      <c r="A14" s="2" t="s">
        <v>91</v>
      </c>
      <c r="B14" s="2" t="s">
        <v>92</v>
      </c>
      <c r="C14" s="2" t="s">
        <v>93</v>
      </c>
      <c r="D14" s="2"/>
      <c r="E14" s="2" t="s">
        <v>35</v>
      </c>
      <c r="F14" s="2" t="s">
        <v>94</v>
      </c>
      <c r="G14" s="2"/>
      <c r="H14" s="31" t="s">
        <v>38</v>
      </c>
      <c r="I14" s="31">
        <v>3</v>
      </c>
    </row>
    <row r="15" spans="1:9" ht="56" customHeight="1" x14ac:dyDescent="0.2">
      <c r="A15" s="4" t="s">
        <v>43</v>
      </c>
      <c r="B15" s="4" t="s">
        <v>44</v>
      </c>
      <c r="C15" s="4" t="s">
        <v>45</v>
      </c>
      <c r="D15" s="4"/>
      <c r="E15" s="4" t="s">
        <v>46</v>
      </c>
      <c r="F15" s="4" t="s">
        <v>47</v>
      </c>
      <c r="G15" s="4" t="s">
        <v>48</v>
      </c>
      <c r="H15" s="31" t="s">
        <v>38</v>
      </c>
      <c r="I15" s="31">
        <v>4</v>
      </c>
    </row>
    <row r="16" spans="1:9" ht="42" customHeight="1" x14ac:dyDescent="0.2">
      <c r="A16" s="4" t="s">
        <v>65</v>
      </c>
      <c r="B16" s="4" t="s">
        <v>66</v>
      </c>
      <c r="C16" s="21" t="s">
        <v>146</v>
      </c>
      <c r="D16" s="21" t="s">
        <v>147</v>
      </c>
      <c r="E16" s="4" t="s">
        <v>46</v>
      </c>
      <c r="F16" s="4" t="s">
        <v>67</v>
      </c>
      <c r="G16" s="4" t="s">
        <v>22</v>
      </c>
      <c r="H16" s="31" t="s">
        <v>38</v>
      </c>
      <c r="I16" s="31">
        <v>5</v>
      </c>
    </row>
    <row r="17" spans="1:9" ht="84" customHeight="1" x14ac:dyDescent="0.2">
      <c r="A17" s="25" t="s">
        <v>121</v>
      </c>
      <c r="B17" s="25" t="s">
        <v>122</v>
      </c>
      <c r="C17" s="25" t="s">
        <v>123</v>
      </c>
      <c r="D17" s="25"/>
      <c r="E17" s="25" t="s">
        <v>18</v>
      </c>
      <c r="F17" s="25" t="s">
        <v>124</v>
      </c>
      <c r="G17" s="25" t="s">
        <v>123</v>
      </c>
      <c r="H17" s="31" t="s">
        <v>38</v>
      </c>
      <c r="I17" s="31">
        <v>6</v>
      </c>
    </row>
    <row r="18" spans="1:9" ht="28" customHeight="1" x14ac:dyDescent="0.2">
      <c r="A18" s="2" t="s">
        <v>32</v>
      </c>
      <c r="B18" s="2" t="s">
        <v>33</v>
      </c>
      <c r="C18" s="2" t="s">
        <v>34</v>
      </c>
      <c r="D18" s="36" t="s">
        <v>148</v>
      </c>
      <c r="E18" s="2" t="s">
        <v>35</v>
      </c>
      <c r="F18" s="2" t="s">
        <v>36</v>
      </c>
      <c r="G18" s="2" t="s">
        <v>37</v>
      </c>
      <c r="H18" s="31" t="s">
        <v>38</v>
      </c>
      <c r="I18" s="31">
        <v>7</v>
      </c>
    </row>
    <row r="19" spans="1:9" ht="42" customHeight="1" x14ac:dyDescent="0.2">
      <c r="A19" s="25" t="s">
        <v>53</v>
      </c>
      <c r="B19" s="25" t="s">
        <v>54</v>
      </c>
      <c r="C19" s="25" t="s">
        <v>55</v>
      </c>
      <c r="D19" s="25"/>
      <c r="E19" s="25" t="s">
        <v>18</v>
      </c>
      <c r="F19" s="25" t="s">
        <v>56</v>
      </c>
      <c r="G19" s="25" t="s">
        <v>55</v>
      </c>
      <c r="H19" s="31" t="s">
        <v>38</v>
      </c>
      <c r="I19" s="31">
        <v>8</v>
      </c>
    </row>
    <row r="20" spans="1:9" ht="42" customHeight="1" x14ac:dyDescent="0.2">
      <c r="A20" s="2" t="s">
        <v>39</v>
      </c>
      <c r="B20" s="2" t="s">
        <v>40</v>
      </c>
      <c r="C20" s="2" t="s">
        <v>41</v>
      </c>
      <c r="D20" s="2"/>
      <c r="E20" s="2" t="s">
        <v>35</v>
      </c>
      <c r="F20" s="2" t="s">
        <v>42</v>
      </c>
      <c r="G20" s="2" t="s">
        <v>37</v>
      </c>
      <c r="H20" s="31" t="s">
        <v>38</v>
      </c>
      <c r="I20" s="31">
        <v>9</v>
      </c>
    </row>
    <row r="21" spans="1:9" ht="28" customHeight="1" x14ac:dyDescent="0.2">
      <c r="A21" s="4" t="s">
        <v>79</v>
      </c>
      <c r="B21" s="4" t="s">
        <v>80</v>
      </c>
      <c r="C21" s="4" t="s">
        <v>48</v>
      </c>
      <c r="D21" s="4"/>
      <c r="E21" s="4" t="s">
        <v>46</v>
      </c>
      <c r="F21" s="4" t="s">
        <v>81</v>
      </c>
      <c r="G21" s="4" t="s">
        <v>22</v>
      </c>
      <c r="H21" s="31" t="s">
        <v>38</v>
      </c>
      <c r="I21" s="31">
        <v>10</v>
      </c>
    </row>
    <row r="22" spans="1:9" ht="70" customHeight="1" x14ac:dyDescent="0.2">
      <c r="A22" s="2" t="s">
        <v>95</v>
      </c>
      <c r="B22" s="2" t="s">
        <v>96</v>
      </c>
      <c r="C22" s="2" t="s">
        <v>97</v>
      </c>
      <c r="D22" s="36" t="s">
        <v>149</v>
      </c>
      <c r="E22" s="2" t="s">
        <v>35</v>
      </c>
      <c r="F22" s="2" t="s">
        <v>98</v>
      </c>
      <c r="G22" s="2" t="s">
        <v>37</v>
      </c>
      <c r="H22" s="32" t="s">
        <v>72</v>
      </c>
      <c r="I22" s="32">
        <v>1</v>
      </c>
    </row>
    <row r="23" spans="1:9" ht="28" customHeight="1" x14ac:dyDescent="0.2">
      <c r="A23" s="2" t="s">
        <v>68</v>
      </c>
      <c r="B23" s="2" t="s">
        <v>69</v>
      </c>
      <c r="C23" s="2" t="s">
        <v>70</v>
      </c>
      <c r="D23" s="36" t="s">
        <v>152</v>
      </c>
      <c r="E23" s="2" t="s">
        <v>35</v>
      </c>
      <c r="F23" s="2" t="s">
        <v>71</v>
      </c>
      <c r="G23" s="2" t="s">
        <v>55</v>
      </c>
      <c r="H23" s="32" t="s">
        <v>72</v>
      </c>
      <c r="I23" s="32">
        <v>2</v>
      </c>
    </row>
    <row r="24" spans="1:9" ht="56" customHeight="1" x14ac:dyDescent="0.2">
      <c r="A24" s="2" t="s">
        <v>125</v>
      </c>
      <c r="B24" s="2" t="s">
        <v>126</v>
      </c>
      <c r="C24" s="36" t="s">
        <v>127</v>
      </c>
      <c r="D24" s="36" t="s">
        <v>150</v>
      </c>
      <c r="E24" s="2" t="s">
        <v>35</v>
      </c>
      <c r="F24" s="2" t="s">
        <v>128</v>
      </c>
      <c r="G24" s="2" t="s">
        <v>37</v>
      </c>
      <c r="H24" s="32" t="s">
        <v>72</v>
      </c>
      <c r="I24" s="32">
        <v>3</v>
      </c>
    </row>
    <row r="25" spans="1:9" ht="42" x14ac:dyDescent="0.2">
      <c r="A25" s="2" t="s">
        <v>102</v>
      </c>
      <c r="B25" s="2" t="s">
        <v>103</v>
      </c>
      <c r="C25" s="2" t="s">
        <v>104</v>
      </c>
      <c r="D25" s="36" t="s">
        <v>153</v>
      </c>
      <c r="E25" s="2" t="s">
        <v>35</v>
      </c>
      <c r="F25" s="2" t="s">
        <v>105</v>
      </c>
      <c r="G25" s="2" t="s">
        <v>37</v>
      </c>
      <c r="H25" s="32" t="s">
        <v>72</v>
      </c>
      <c r="I25" s="32">
        <v>4</v>
      </c>
    </row>
    <row r="26" spans="1:9" ht="42" customHeight="1" x14ac:dyDescent="0.2">
      <c r="A26" s="2" t="s">
        <v>86</v>
      </c>
      <c r="B26" s="2" t="s">
        <v>87</v>
      </c>
      <c r="C26" s="2" t="s">
        <v>88</v>
      </c>
      <c r="D26" s="36" t="s">
        <v>151</v>
      </c>
      <c r="E26" s="2" t="s">
        <v>35</v>
      </c>
      <c r="F26" s="2" t="s">
        <v>89</v>
      </c>
      <c r="G26" s="2" t="s">
        <v>90</v>
      </c>
      <c r="H26" s="32" t="s">
        <v>72</v>
      </c>
      <c r="I26" s="32">
        <v>5</v>
      </c>
    </row>
    <row r="27" spans="1:9" ht="84" customHeight="1" x14ac:dyDescent="0.2">
      <c r="A27" s="4" t="s">
        <v>114</v>
      </c>
      <c r="B27" s="4" t="s">
        <v>115</v>
      </c>
      <c r="C27" s="4" t="s">
        <v>90</v>
      </c>
      <c r="D27" s="4"/>
      <c r="E27" s="4" t="s">
        <v>46</v>
      </c>
      <c r="F27" s="4" t="s">
        <v>116</v>
      </c>
      <c r="G27" s="4" t="s">
        <v>75</v>
      </c>
      <c r="H27" s="32" t="s">
        <v>72</v>
      </c>
      <c r="I27" s="32">
        <v>6</v>
      </c>
    </row>
    <row r="28" spans="1:9" ht="42" customHeight="1" x14ac:dyDescent="0.2">
      <c r="A28" s="25" t="s">
        <v>61</v>
      </c>
      <c r="B28" s="25" t="s">
        <v>62</v>
      </c>
      <c r="C28" s="25" t="s">
        <v>63</v>
      </c>
      <c r="D28" s="25"/>
      <c r="E28" s="25" t="s">
        <v>18</v>
      </c>
      <c r="F28" s="25" t="s">
        <v>64</v>
      </c>
      <c r="G28" s="25" t="s">
        <v>63</v>
      </c>
      <c r="H28" s="30" t="s">
        <v>27</v>
      </c>
      <c r="I28" s="30">
        <v>1</v>
      </c>
    </row>
    <row r="29" spans="1:9" ht="28" customHeight="1" x14ac:dyDescent="0.2">
      <c r="A29" s="26" t="s">
        <v>24</v>
      </c>
      <c r="B29" s="26" t="s">
        <v>25</v>
      </c>
      <c r="C29" s="26" t="s">
        <v>13</v>
      </c>
      <c r="D29" s="26"/>
      <c r="E29" s="27" t="s">
        <v>18</v>
      </c>
      <c r="F29" s="26" t="s">
        <v>26</v>
      </c>
      <c r="G29" s="26" t="s">
        <v>13</v>
      </c>
      <c r="H29" s="30" t="s">
        <v>27</v>
      </c>
      <c r="I29" s="30">
        <v>2</v>
      </c>
    </row>
    <row r="30" spans="1:9" ht="70" customHeight="1" x14ac:dyDescent="0.2">
      <c r="A30" s="2" t="s">
        <v>110</v>
      </c>
      <c r="B30" s="2" t="s">
        <v>111</v>
      </c>
      <c r="C30" s="2" t="s">
        <v>112</v>
      </c>
      <c r="D30" s="2"/>
      <c r="E30" s="2" t="s">
        <v>35</v>
      </c>
      <c r="F30" s="2" t="s">
        <v>113</v>
      </c>
      <c r="G30" s="2"/>
      <c r="H30" s="30" t="s">
        <v>27</v>
      </c>
      <c r="I30" s="30">
        <v>3</v>
      </c>
    </row>
    <row r="32" spans="1:9" x14ac:dyDescent="0.2">
      <c r="C32" s="24"/>
      <c r="D32" s="35"/>
    </row>
  </sheetData>
  <sortState xmlns:xlrd2="http://schemas.microsoft.com/office/spreadsheetml/2017/richdata2" ref="H2:I34">
    <sortCondition ref="H2:H34"/>
    <sortCondition ref="I2:I34"/>
  </sortState>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zoomScaleNormal="100" workbookViewId="0"/>
  </sheetViews>
  <sheetFormatPr baseColWidth="10" defaultColWidth="8.6640625" defaultRowHeight="15" x14ac:dyDescent="0.2"/>
  <cols>
    <col min="1" max="1" width="26" customWidth="1"/>
    <col min="2" max="2" width="10" customWidth="1"/>
  </cols>
  <sheetData>
    <row r="1" spans="1:3" ht="18" customHeight="1" x14ac:dyDescent="0.2">
      <c r="A1" s="33" t="s">
        <v>133</v>
      </c>
      <c r="B1" s="34"/>
      <c r="C1" s="34"/>
    </row>
    <row r="3" spans="1:3" ht="16" customHeight="1" x14ac:dyDescent="0.2">
      <c r="A3" s="7" t="s">
        <v>134</v>
      </c>
    </row>
    <row r="4" spans="1:3" x14ac:dyDescent="0.2">
      <c r="A4" s="8" t="s">
        <v>35</v>
      </c>
    </row>
    <row r="5" spans="1:3" x14ac:dyDescent="0.2">
      <c r="A5" s="9" t="s">
        <v>18</v>
      </c>
    </row>
    <row r="6" spans="1:3" x14ac:dyDescent="0.2">
      <c r="A6" s="10" t="s">
        <v>46</v>
      </c>
    </row>
    <row r="7" spans="1:3" x14ac:dyDescent="0.2">
      <c r="A7" s="11" t="s">
        <v>76</v>
      </c>
    </row>
    <row r="8" spans="1:3" x14ac:dyDescent="0.2">
      <c r="A8" s="12" t="s">
        <v>119</v>
      </c>
    </row>
    <row r="11" spans="1:3" x14ac:dyDescent="0.2">
      <c r="A11" s="13" t="s">
        <v>135</v>
      </c>
      <c r="B11" s="13" t="s">
        <v>136</v>
      </c>
    </row>
    <row r="12" spans="1:3" x14ac:dyDescent="0.2">
      <c r="A12" s="14" t="s">
        <v>35</v>
      </c>
      <c r="B12" s="15">
        <v>12</v>
      </c>
    </row>
    <row r="13" spans="1:3" x14ac:dyDescent="0.2">
      <c r="A13" s="16" t="s">
        <v>18</v>
      </c>
      <c r="B13" s="15">
        <v>9</v>
      </c>
    </row>
    <row r="14" spans="1:3" x14ac:dyDescent="0.2">
      <c r="A14" s="17" t="s">
        <v>46</v>
      </c>
      <c r="B14" s="15">
        <v>5</v>
      </c>
    </row>
    <row r="15" spans="1:3" x14ac:dyDescent="0.2">
      <c r="A15" s="18" t="s">
        <v>76</v>
      </c>
      <c r="B15" s="15">
        <v>2</v>
      </c>
    </row>
    <row r="16" spans="1:3" x14ac:dyDescent="0.2">
      <c r="A16" s="19" t="s">
        <v>119</v>
      </c>
      <c r="B16" s="15">
        <v>1</v>
      </c>
    </row>
    <row r="17" spans="1:2" x14ac:dyDescent="0.2">
      <c r="A17" s="20" t="s">
        <v>137</v>
      </c>
      <c r="B17" s="20">
        <f>SUM(B12:B16)</f>
        <v>29</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Spring Trip Assignments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Anderson, Nicolas S. (Nick)</cp:lastModifiedBy>
  <cp:revision>0</cp:revision>
  <dcterms:created xsi:type="dcterms:W3CDTF">2026-04-21T21:54:33Z</dcterms:created>
  <dcterms:modified xsi:type="dcterms:W3CDTF">2026-04-21T23:16:00Z</dcterms:modified>
  <dc:language>en-US</dc:language>
</cp:coreProperties>
</file>